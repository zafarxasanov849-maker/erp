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senari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2" authorId="0">
      <text>
        <r>
          <rPr>
            <sz val="10"/>
            <rFont val="Arial"/>
            <family val="2"/>
          </rPr>
          <t xml:space="preserve">PRD §5.2: round(narx × darslar / oydagi_darslar); har yozuv alohida yaxlitlanadi (§5.9). Yechish manfiy, qaytarish musbat.</t>
        </r>
      </text>
    </comment>
    <comment ref="I12" authorId="0">
      <text>
        <r>
          <rPr>
            <sz val="10"/>
            <rFont val="Arial"/>
            <family val="2"/>
          </rPr>
          <t xml:space="preserve">src/lib/billing/calc.test.ts va balance.test.ts dagi 31-test (3 oylik stsenariy) natijalari.</t>
        </r>
      </text>
    </comment>
  </commentList>
</comments>
</file>

<file path=xl/sharedStrings.xml><?xml version="1.0" encoding="utf-8"?>
<sst xmlns="http://schemas.openxmlformats.org/spreadsheetml/2006/main" count="38" uniqueCount="36">
  <si>
    <t xml:space="preserve">Hisob-kitob: 3 oylik stsenariy (PRD §5) — qo'lda hisob va tizim natijasi</t>
  </si>
  <si>
    <t xml:space="preserve">Ko'k — kiritiladigan qiymatlar (o'zgartirsangiz hammasi qayta hisoblanadi). Qora — formulalar. Guruh: Du-Ch-Ju, bitta talaba.</t>
  </si>
  <si>
    <t xml:space="preserve">Kiritmalar</t>
  </si>
  <si>
    <t xml:space="preserve">Oylik narx (so'm)</t>
  </si>
  <si>
    <t xml:space="preserve">Guruh narxi</t>
  </si>
  <si>
    <t xml:space="preserve">Yaxlitlash (so'm)</t>
  </si>
  <si>
    <t xml:space="preserve">1, 100 yoki 1000 — Sozlamalar → Markaz → Moliya</t>
  </si>
  <si>
    <t xml:space="preserve">Chegirma (1-noyabrdan)</t>
  </si>
  <si>
    <t xml:space="preserve">Foiz chegirma</t>
  </si>
  <si>
    <t xml:space="preserve">Sentabr 2026 darslari</t>
  </si>
  <si>
    <t xml:space="preserve">Du-Ch-Ju: 2,4,7,9,11,14,16,18,21,23,25,28,30</t>
  </si>
  <si>
    <t xml:space="preserve">Oktabr 2026 darslari</t>
  </si>
  <si>
    <t xml:space="preserve">2,5,7,9,12,14,16,19,21,23,26,28,30</t>
  </si>
  <si>
    <t xml:space="preserve">Noyabr 2026 darslari</t>
  </si>
  <si>
    <t xml:space="preserve">2,4,6,9,11,13,16,18,20,23,25,27,30</t>
  </si>
  <si>
    <t xml:space="preserve">#</t>
  </si>
  <si>
    <t xml:space="preserve">Sana</t>
  </si>
  <si>
    <t xml:space="preserve">Hodisa</t>
  </si>
  <si>
    <t xml:space="preserve">Darslar (n)</t>
  </si>
  <si>
    <t xml:space="preserve">Oydagi darslar</t>
  </si>
  <si>
    <t xml:space="preserve">Narx (chegirmadan keyin)</t>
  </si>
  <si>
    <t xml:space="preserve">Summa (qo'lda, formula)</t>
  </si>
  <si>
    <t xml:space="preserve">Balans</t>
  </si>
  <si>
    <t xml:space="preserve">Tizim natijasi (test 31)</t>
  </si>
  <si>
    <t xml:space="preserve">Farq</t>
  </si>
  <si>
    <t xml:space="preserve">Faollashtirish: 21,23,25,28,30-sentabr (§5.3)</t>
  </si>
  <si>
    <t xml:space="preserve">To'lov</t>
  </si>
  <si>
    <t xml:space="preserve">Oylik yechish — oktabr (§5.2)</t>
  </si>
  <si>
    <t xml:space="preserve">To'lov bekor qilindi — teskari yozuv (§5.12)</t>
  </si>
  <si>
    <t xml:space="preserve">Muzlatish 12–16-oktabr: 12,14,16 qaytariladi (§5.5)</t>
  </si>
  <si>
    <t xml:space="preserve">Bayram 23-oktabr: 1 dars qaytariladi (§5.7)</t>
  </si>
  <si>
    <t xml:space="preserve">Oylik yechish — noyabr, chegirma bilan (§5.8)</t>
  </si>
  <si>
    <t xml:space="preserve">Chiqish 18-noyabr: 20,23,25,27,30 qaytariladi (§5.6)</t>
  </si>
  <si>
    <t xml:space="preserve">Jami / yakuniy balans</t>
  </si>
  <si>
    <t xml:space="preserve">Hamma "Farq" 0 bo'lsa — qo'lda hisob tizim bilan tiyin-tiyinigacha mos.</t>
  </si>
  <si>
    <t xml:space="preserve">Yakuniy eski qarz (noyabr): =MIN(0; balans − noyabr yechishlari)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</si>
</sst>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0%"/>
    <numFmt numFmtId="167" formatCode="dd\.mm\.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680000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1</v>
      </c>
      <c r="C6" s="6" t="s">
        <v>6</v>
      </c>
    </row>
    <row r="7" customFormat="false" ht="15" hidden="false" customHeight="false" outlineLevel="0" collapsed="false">
      <c r="A7" s="4" t="s">
        <v>7</v>
      </c>
      <c r="B7" s="7" t="n">
        <v>0.1</v>
      </c>
      <c r="C7" s="6" t="s">
        <v>8</v>
      </c>
    </row>
    <row r="8" customFormat="false" ht="15" hidden="false" customHeight="false" outlineLevel="0" collapsed="false">
      <c r="A8" s="4" t="s">
        <v>9</v>
      </c>
      <c r="B8" s="5" t="n">
        <v>13</v>
      </c>
      <c r="C8" s="6" t="s">
        <v>10</v>
      </c>
    </row>
    <row r="9" customFormat="false" ht="15" hidden="false" customHeight="false" outlineLevel="0" collapsed="false">
      <c r="A9" s="4" t="s">
        <v>11</v>
      </c>
      <c r="B9" s="5" t="n">
        <v>13</v>
      </c>
      <c r="C9" s="6" t="s">
        <v>12</v>
      </c>
    </row>
    <row r="10" customFormat="false" ht="15" hidden="false" customHeight="false" outlineLevel="0" collapsed="false">
      <c r="A10" s="4" t="s">
        <v>13</v>
      </c>
      <c r="B10" s="5" t="n">
        <v>13</v>
      </c>
      <c r="C10" s="6" t="s">
        <v>14</v>
      </c>
    </row>
    <row r="12" customFormat="false" ht="31.5" hidden="false" customHeight="true" outlineLevel="0" collapsed="false">
      <c r="A12" s="8" t="s">
        <v>15</v>
      </c>
      <c r="B12" s="8" t="s">
        <v>16</v>
      </c>
      <c r="C12" s="8" t="s">
        <v>17</v>
      </c>
      <c r="D12" s="8" t="s">
        <v>18</v>
      </c>
      <c r="E12" s="8" t="s">
        <v>19</v>
      </c>
      <c r="F12" s="8" t="s">
        <v>20</v>
      </c>
      <c r="G12" s="8" t="s">
        <v>21</v>
      </c>
      <c r="H12" s="8" t="s">
        <v>22</v>
      </c>
      <c r="I12" s="8" t="s">
        <v>23</v>
      </c>
      <c r="J12" s="8" t="s">
        <v>24</v>
      </c>
    </row>
    <row r="13" customFormat="false" ht="15" hidden="false" customHeight="false" outlineLevel="0" collapsed="false">
      <c r="A13" s="9" t="n">
        <v>1</v>
      </c>
      <c r="B13" s="10" t="n">
        <v>46286</v>
      </c>
      <c r="C13" s="9" t="s">
        <v>25</v>
      </c>
      <c r="D13" s="11" t="n">
        <v>5</v>
      </c>
      <c r="E13" s="12" t="n">
        <f aca="false">$B$8</f>
        <v>13</v>
      </c>
      <c r="F13" s="12" t="n">
        <f aca="false">$B$5</f>
        <v>680000</v>
      </c>
      <c r="G13" s="12" t="n">
        <f aca="false">-ROUND(F13*D13/E13/$B$6,0)*$B$6</f>
        <v>-261538</v>
      </c>
      <c r="H13" s="12" t="n">
        <f aca="false">G13</f>
        <v>-261538</v>
      </c>
      <c r="I13" s="13" t="n">
        <v>-261538</v>
      </c>
      <c r="J13" s="12" t="n">
        <f aca="false">G13-I13</f>
        <v>0</v>
      </c>
    </row>
    <row r="14" customFormat="false" ht="15" hidden="false" customHeight="false" outlineLevel="0" collapsed="false">
      <c r="A14" s="9" t="n">
        <v>2</v>
      </c>
      <c r="B14" s="10" t="n">
        <v>46287</v>
      </c>
      <c r="C14" s="9" t="s">
        <v>26</v>
      </c>
      <c r="D14" s="14"/>
      <c r="E14" s="14"/>
      <c r="F14" s="14"/>
      <c r="G14" s="13" t="n">
        <v>300000</v>
      </c>
      <c r="H14" s="12" t="n">
        <f aca="false">H13+G14</f>
        <v>38462</v>
      </c>
      <c r="I14" s="13" t="n">
        <v>300000</v>
      </c>
      <c r="J14" s="12" t="n">
        <f aca="false">G14-I14</f>
        <v>0</v>
      </c>
    </row>
    <row r="15" customFormat="false" ht="15" hidden="false" customHeight="false" outlineLevel="0" collapsed="false">
      <c r="A15" s="9" t="n">
        <v>3</v>
      </c>
      <c r="B15" s="10" t="n">
        <v>46296</v>
      </c>
      <c r="C15" s="9" t="s">
        <v>27</v>
      </c>
      <c r="D15" s="11" t="n">
        <v>13</v>
      </c>
      <c r="E15" s="12" t="n">
        <f aca="false">$B$9</f>
        <v>13</v>
      </c>
      <c r="F15" s="12" t="n">
        <f aca="false">$B$5</f>
        <v>680000</v>
      </c>
      <c r="G15" s="12" t="n">
        <f aca="false">-ROUND(F15*D15/E15/$B$6,0)*$B$6</f>
        <v>-680000</v>
      </c>
      <c r="H15" s="12" t="n">
        <f aca="false">H14+G15</f>
        <v>-641538</v>
      </c>
      <c r="I15" s="13" t="n">
        <v>-680000</v>
      </c>
      <c r="J15" s="12" t="n">
        <f aca="false">G15-I15</f>
        <v>0</v>
      </c>
    </row>
    <row r="16" customFormat="false" ht="15" hidden="false" customHeight="false" outlineLevel="0" collapsed="false">
      <c r="A16" s="9" t="n">
        <v>4</v>
      </c>
      <c r="B16" s="10" t="n">
        <v>46305</v>
      </c>
      <c r="C16" s="9" t="s">
        <v>26</v>
      </c>
      <c r="D16" s="14"/>
      <c r="E16" s="14"/>
      <c r="F16" s="14"/>
      <c r="G16" s="13" t="n">
        <v>700000</v>
      </c>
      <c r="H16" s="12" t="n">
        <f aca="false">H15+G16</f>
        <v>58462</v>
      </c>
      <c r="I16" s="13" t="n">
        <v>700000</v>
      </c>
      <c r="J16" s="12" t="n">
        <f aca="false">G16-I16</f>
        <v>0</v>
      </c>
    </row>
    <row r="17" customFormat="false" ht="15" hidden="false" customHeight="false" outlineLevel="0" collapsed="false">
      <c r="A17" s="9" t="n">
        <v>5</v>
      </c>
      <c r="B17" s="10" t="n">
        <v>46305</v>
      </c>
      <c r="C17" s="9" t="s">
        <v>28</v>
      </c>
      <c r="D17" s="14"/>
      <c r="E17" s="14"/>
      <c r="F17" s="14"/>
      <c r="G17" s="13" t="n">
        <v>-700000</v>
      </c>
      <c r="H17" s="12" t="n">
        <f aca="false">H16+G17</f>
        <v>-641538</v>
      </c>
      <c r="I17" s="13" t="n">
        <v>-700000</v>
      </c>
      <c r="J17" s="12" t="n">
        <f aca="false">G17-I17</f>
        <v>0</v>
      </c>
    </row>
    <row r="18" customFormat="false" ht="15" hidden="false" customHeight="false" outlineLevel="0" collapsed="false">
      <c r="A18" s="9" t="n">
        <v>6</v>
      </c>
      <c r="B18" s="10" t="n">
        <v>46306</v>
      </c>
      <c r="C18" s="9" t="s">
        <v>26</v>
      </c>
      <c r="D18" s="14"/>
      <c r="E18" s="14"/>
      <c r="F18" s="14"/>
      <c r="G18" s="13" t="n">
        <v>650000</v>
      </c>
      <c r="H18" s="12" t="n">
        <f aca="false">H17+G18</f>
        <v>8462</v>
      </c>
      <c r="I18" s="13" t="n">
        <v>650000</v>
      </c>
      <c r="J18" s="12" t="n">
        <f aca="false">G18-I18</f>
        <v>0</v>
      </c>
    </row>
    <row r="19" customFormat="false" ht="15" hidden="false" customHeight="false" outlineLevel="0" collapsed="false">
      <c r="A19" s="9" t="n">
        <v>7</v>
      </c>
      <c r="B19" s="10" t="n">
        <v>46307</v>
      </c>
      <c r="C19" s="9" t="s">
        <v>29</v>
      </c>
      <c r="D19" s="11" t="n">
        <v>3</v>
      </c>
      <c r="E19" s="12" t="n">
        <f aca="false">$B$9</f>
        <v>13</v>
      </c>
      <c r="F19" s="12" t="n">
        <f aca="false">$B$5</f>
        <v>680000</v>
      </c>
      <c r="G19" s="12" t="n">
        <f aca="false">ROUND(F19*D19/E19/$B$6,0)*$B$6</f>
        <v>156923</v>
      </c>
      <c r="H19" s="12" t="n">
        <f aca="false">H18+G19</f>
        <v>165385</v>
      </c>
      <c r="I19" s="13" t="n">
        <v>156923</v>
      </c>
      <c r="J19" s="12" t="n">
        <f aca="false">G19-I19</f>
        <v>0</v>
      </c>
    </row>
    <row r="20" customFormat="false" ht="15" hidden="false" customHeight="false" outlineLevel="0" collapsed="false">
      <c r="A20" s="9" t="n">
        <v>8</v>
      </c>
      <c r="B20" s="10" t="n">
        <v>46315</v>
      </c>
      <c r="C20" s="9" t="s">
        <v>30</v>
      </c>
      <c r="D20" s="11" t="n">
        <v>1</v>
      </c>
      <c r="E20" s="12" t="n">
        <f aca="false">$B$9</f>
        <v>13</v>
      </c>
      <c r="F20" s="12" t="n">
        <f aca="false">$B$5</f>
        <v>680000</v>
      </c>
      <c r="G20" s="12" t="n">
        <f aca="false">ROUND(F20*D20/E20/$B$6,0)*$B$6</f>
        <v>52308</v>
      </c>
      <c r="H20" s="12" t="n">
        <f aca="false">H19+G20</f>
        <v>217693</v>
      </c>
      <c r="I20" s="13" t="n">
        <v>52308</v>
      </c>
      <c r="J20" s="12" t="n">
        <f aca="false">G20-I20</f>
        <v>0</v>
      </c>
    </row>
    <row r="21" customFormat="false" ht="15" hidden="false" customHeight="false" outlineLevel="0" collapsed="false">
      <c r="A21" s="9" t="n">
        <v>9</v>
      </c>
      <c r="B21" s="10" t="n">
        <v>46327</v>
      </c>
      <c r="C21" s="9" t="s">
        <v>31</v>
      </c>
      <c r="D21" s="11" t="n">
        <v>13</v>
      </c>
      <c r="E21" s="12" t="n">
        <f aca="false">$B$10</f>
        <v>13</v>
      </c>
      <c r="F21" s="12" t="n">
        <f aca="false">$B$5*(1-$B$7)</f>
        <v>612000</v>
      </c>
      <c r="G21" s="12" t="n">
        <f aca="false">-ROUND(F21*D21/E21/$B$6,0)*$B$6</f>
        <v>-612000</v>
      </c>
      <c r="H21" s="12" t="n">
        <f aca="false">H20+G21</f>
        <v>-394307</v>
      </c>
      <c r="I21" s="13" t="n">
        <v>-612000</v>
      </c>
      <c r="J21" s="12" t="n">
        <f aca="false">G21-I21</f>
        <v>0</v>
      </c>
    </row>
    <row r="22" customFormat="false" ht="15" hidden="false" customHeight="false" outlineLevel="0" collapsed="false">
      <c r="A22" s="9" t="n">
        <v>10</v>
      </c>
      <c r="B22" s="10" t="n">
        <v>46344</v>
      </c>
      <c r="C22" s="9" t="s">
        <v>32</v>
      </c>
      <c r="D22" s="11" t="n">
        <v>5</v>
      </c>
      <c r="E22" s="12" t="n">
        <f aca="false">$B$10</f>
        <v>13</v>
      </c>
      <c r="F22" s="12" t="n">
        <f aca="false">$B$5*(1-$B$7)</f>
        <v>612000</v>
      </c>
      <c r="G22" s="12" t="n">
        <f aca="false">ROUND(F22*D22/E22/$B$6,0)*$B$6</f>
        <v>235385</v>
      </c>
      <c r="H22" s="12" t="n">
        <f aca="false">H21+G22</f>
        <v>-158922</v>
      </c>
      <c r="I22" s="13" t="n">
        <v>235385</v>
      </c>
      <c r="J22" s="12" t="n">
        <f aca="false">G22-I22</f>
        <v>0</v>
      </c>
    </row>
    <row r="23" customFormat="false" ht="15" hidden="false" customHeight="false" outlineLevel="0" collapsed="false">
      <c r="C23" s="3" t="s">
        <v>33</v>
      </c>
      <c r="G23" s="15" t="n">
        <f aca="false">SUM(G13:G22)</f>
        <v>-158922</v>
      </c>
      <c r="H23" s="15" t="n">
        <f aca="false">H22</f>
        <v>-158922</v>
      </c>
      <c r="I23" s="15" t="n">
        <f aca="false">SUM(I13:I22)</f>
        <v>-158922</v>
      </c>
      <c r="J23" s="15" t="n">
        <f aca="false">G23-I23</f>
        <v>0</v>
      </c>
    </row>
    <row r="24" customFormat="false" ht="15" hidden="false" customHeight="false" outlineLevel="0" collapsed="false">
      <c r="C24" s="2" t="s">
        <v>34</v>
      </c>
    </row>
    <row r="25" customFormat="false" ht="15" hidden="false" customHeight="false" outlineLevel="0" collapsed="false">
      <c r="C25" s="2" t="s">
        <v>35</v>
      </c>
      <c r="H25" s="16" t="n">
        <f aca="false">MIN(0,H22-(G21+G22))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2026-10-02T17:31:52Z</dcterms:created>
  <dc:creator>openpyxl</dc:creator>
  <dc:description/>
  <dc:language>en-US</dc:language>
  <cp:lastModifiedBy/>
  <dcterms:modified xsi:type="dcterms:W3CDTF">2026-10-02T17:31:52Z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